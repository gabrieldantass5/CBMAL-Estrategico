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4"/>
    <sheet state="visible" name="ANÁLISE" sheetId="2" r:id="rId5"/>
  </sheets>
  <definedNames>
    <definedName hidden="1" localSheetId="1" name="_xlnm._FilterDatabase">'ANÁLISE'!$A$1:$F$97</definedName>
  </definedNames>
  <calcPr/>
</workbook>
</file>

<file path=xl/sharedStrings.xml><?xml version="1.0" encoding="utf-8"?>
<sst xmlns="http://schemas.openxmlformats.org/spreadsheetml/2006/main" count="401" uniqueCount="210">
  <si>
    <t>Carimbo de data/hora</t>
  </si>
  <si>
    <t>Qual seu posto?</t>
  </si>
  <si>
    <t>Qual seu nome completo?</t>
  </si>
  <si>
    <t>Qual sua matrícula?</t>
  </si>
  <si>
    <t>Qual sua OBM?</t>
  </si>
  <si>
    <t>O relacionamento entre o Comando da OBM e a tropa é satisfatório?</t>
  </si>
  <si>
    <t>Qual o tipo de relacionamento com os órgãos federais em seu município?</t>
  </si>
  <si>
    <t>Qual o tipo de relacionamento com os órgãos estaduais em seu município?</t>
  </si>
  <si>
    <t>Qual o tipo de relacionamento com os órgãos municipais em seu município?</t>
  </si>
  <si>
    <t>Cite pontos FORTES de sua OBM, considerando pontos fortes como fatores internos que correspondem a coisas que sua OBM já está fazendo bem:</t>
  </si>
  <si>
    <t>Cite FRAQUEZAS que considera relevantes para sua OBM, considerando-as como pontos que podem prejudicar e/ou interferir negativamente no andamento do trabalho da unidade:</t>
  </si>
  <si>
    <t>No contexto da sua OBM, quais OPORTUNIDADES podem ser identificadas na atualidade? Considere oportunidades como  forças externas que impactam positivamente a sua unidade.</t>
  </si>
  <si>
    <t>Caso tenha marcado a opção "Legislação em vigor", cite o número da Lei a que se refere; e caso tenha marcado a opção "Parceria ou convênios com instituições/empresas", cite as instituições/empresas com as quais a OBM tem parceria.</t>
  </si>
  <si>
    <t>No contexto da sua OBM, quais AMEAÇAS podem ser identificadas na atualidade?  Ameaças, podem ser definidas como aquelas situações, presentes ou futuras, que proporcionam condições desfavoráveis à consecução de seus objetivos.</t>
  </si>
  <si>
    <t>No seu ponto de vista, quais ações podem ser desenvolvidas em sua OBM para melhorar a captação de recursos?</t>
  </si>
  <si>
    <t>Em relação às questões ambientais, cite aquelas que podem ser consideradas AMEAÇAS para sua OBM que geram desastres de grande vulto e/ou porte:</t>
  </si>
  <si>
    <t>Quais medidas de sustentabilidade podem ser adotadas para tornar sua OBM ambientalmente correta?</t>
  </si>
  <si>
    <t>Em relação a locais de risco, mencione quais podem ser considerados AMEAÇAS que geram desastres de grande vulto e/ou porte no âmbito de sua OBM.</t>
  </si>
  <si>
    <t>Major</t>
  </si>
  <si>
    <t>Cristian Wagner Bons</t>
  </si>
  <si>
    <t>80831-8</t>
  </si>
  <si>
    <t>BOA</t>
  </si>
  <si>
    <t>Sim</t>
  </si>
  <si>
    <t>Protocolar (formal - ocorre somente em solenidades e em outras ocasiões por força do serviço)</t>
  </si>
  <si>
    <t>Bom</t>
  </si>
  <si>
    <t>Clima organizacional favorável, Espírito de corpo / companherismo, Efetivo qualificado / capacitação técnica, Serviço prestado com excelência, Proatividade da tropa na solução de problemas, Militarismo, hierarquia e disciplina, Imagem, credibilidade e reconhecimento institucional, Valorização profissional</t>
  </si>
  <si>
    <t>Problemas de comunicação, Baixo efetivo, Área de cobertura abrangente</t>
  </si>
  <si>
    <t>Credibilidade do Corpo de Bombeiros Militar, Apoio governamental, Integração com outras instituições</t>
  </si>
  <si>
    <t>Influência de outros órgãos/instituições, Escassez de recurso financeiro</t>
  </si>
  <si>
    <t>Cadastrar aeronaves e base aérea junto ao Ministério da Saúde, visando a captação mensal de recursos.</t>
  </si>
  <si>
    <t>Rios</t>
  </si>
  <si>
    <t>Recolhimento de resíduos sólidos e líquidos, Capacitação dos militares para limpeza correta dos materiais e viaturas</t>
  </si>
  <si>
    <t>Indústrias</t>
  </si>
  <si>
    <t>Tenente-coronel</t>
  </si>
  <si>
    <t>Carlos Roberto Lins santos</t>
  </si>
  <si>
    <t>2º BBM - Maragogi</t>
  </si>
  <si>
    <t>Inexistente</t>
  </si>
  <si>
    <t>Mau</t>
  </si>
  <si>
    <t>Honestidade / probidade de seus integrantes, Serviço prestado com excelência, Projetos sociais desenvolvidos, Imagem, credibilidade e reconhecimento institucional, Comunicação social</t>
  </si>
  <si>
    <t>Clima organizacional desfavorável, Baixo espírito de corpo / companherismo, Baixa proatividade da tropa na solução de problemas, Baixo efetivo, Área de cobertura abrangente, Estrutura física de trabalho inadequada, Estrutura física de treinamento insuficiente</t>
  </si>
  <si>
    <t>Credibilidade do Corpo de Bombeiros Militar</t>
  </si>
  <si>
    <t>Bombeiros civis e voluntários, Área de atuação maior do que a OBM consegue atender com qualidade, Escassez de recurso financeiro</t>
  </si>
  <si>
    <t>Demonstração de materiais e viaturas em eventos no município ( divulgando a taxa de bombeiros);
Apoio da Dat de Maceió com efetivo para melhorar arrecadação;</t>
  </si>
  <si>
    <t>Rios, Lagos</t>
  </si>
  <si>
    <t>Criação de sala de assepsia, Recolhimento de resíduos sólidos e líquidos, Capacitação dos militares para limpeza correta dos materiais e viaturas</t>
  </si>
  <si>
    <t>Inundação de rios</t>
  </si>
  <si>
    <t>ALIELSON RODRIGUES DE MELO</t>
  </si>
  <si>
    <t>7º BBM - Arapiraca</t>
  </si>
  <si>
    <t>Ótimo</t>
  </si>
  <si>
    <t>Clima organizacional favorável, Espírito de corpo / companherismo, Honestidade / probidade de seus integrantes, Efetivo qualificado / capacitação técnica, Nobreza e recompensa da missão, Militarismo, hierarquia e disciplina, Imagem, credibilidade e reconhecimento institucional, Cursos e treinamentos disponibilizados, Comunicação social, Valorização profissional, Aprimoramento / melhoria contínua, Remuneração, Materiais, equipamentos e viaturas disponibilizados</t>
  </si>
  <si>
    <t>Baixa proatividade da tropa na solução de problemas, Área de cobertura abrangente, Estrutura física de trabalho inadequada</t>
  </si>
  <si>
    <t>Credibilidade do Corpo de Bombeiros Militar, Integração com outras instituições, Bom relacionamento com a imprensa, Parceria ou convênios com instituições/empresas</t>
  </si>
  <si>
    <t>Influência de outros órgãos/instituições, Área de atuação maior do que a OBM consegue atender com qualidade, Escassez de recurso financeiro</t>
  </si>
  <si>
    <t>Especificamente e diretamente para a unidade, nenhuma legalmente.</t>
  </si>
  <si>
    <t>Mineradora/Barragem(Pouco provável), Estádio de futebol</t>
  </si>
  <si>
    <t>Criação de sala de assepsia, Recolhimento de resíduos sólidos e líquidos, Geração de energia solar</t>
  </si>
  <si>
    <t>Comércio</t>
  </si>
  <si>
    <t>PAULO PANTALEAO DOS SANTOS</t>
  </si>
  <si>
    <t>80577-7</t>
  </si>
  <si>
    <t>BSA - Batalhão de Salvamento Aquático</t>
  </si>
  <si>
    <t>Clima organizacional favorável, Espírito de corpo / companherismo, Dedicação, compromisso e disciplina de seus integrantes, Proatividade da tropa na solução de problemas, Militarismo, hierarquia e disciplina, Valorização profissional, Materiais, equipamentos e viaturas disponibilizados</t>
  </si>
  <si>
    <t>Clima organizacional desfavorável, Efetivo desqualificado / sem capacitação técnica, Falta de cursos e treinamentos, Problemas de comunicação, Falta de materiais, equipamentos e viaturas adequados, Baixo efetivo, Estrutura física de trabalho inadequada, Estrutura física de treinamento insuficiente, Baixa capacitação / qualificação do efetivo</t>
  </si>
  <si>
    <t>Credibilidade do Corpo de Bombeiros Militar, Integração com outras instituições</t>
  </si>
  <si>
    <t>Bombeiros civis e voluntários, Influência de outros órgãos/instituições, Escassez de recurso financeiro</t>
  </si>
  <si>
    <t xml:space="preserve">- A inserção de fiscalizações nos locais como: clubes, balneários e outros que utilizam o meio aquoso para prática de esportes radicais, os quais proporcionam diversão e lazer.
- Curso de capacitação de guarda-vidas de piscina para civis; </t>
  </si>
  <si>
    <t>Recolhimento de resíduos sólidos e líquidos, Geração de energia solar, Aquisição de uma viatura capaz de realizar o processo de assepsia dos mergulhadores, após adentrarem em locais contaminados.</t>
  </si>
  <si>
    <t>Usinas, Indústrias</t>
  </si>
  <si>
    <t>ERIKA VERUSKA DO REGO MAIA</t>
  </si>
  <si>
    <t>BSE - Batalhão de Socorros de Emergência</t>
  </si>
  <si>
    <t>Clima organizacional favorável, Espírito de corpo / companherismo, Honestidade / probidade de seus integrantes, Efetivo qualificado / capacitação técnica, Dedicação, compromisso e disciplina de seus integrantes, Serviço prestado com excelência, Proatividade da tropa na solução de problemas, Militarismo, hierarquia e disciplina, Imagem, credibilidade e reconhecimento institucional, Comunicação social, Valorização profissional, Aprimoramento / melhoria contínua, Sistemas digitais próprios, Materiais, equipamentos e viaturas disponibilizados</t>
  </si>
  <si>
    <t>Falta de cursos e treinamentos, Baixo efetivo, Área de cobertura abrangente</t>
  </si>
  <si>
    <t>Credibilidade do Corpo de Bombeiros Militar, Apoio governamental, Integração com outras instituições, Bom relacionamento com a imprensa</t>
  </si>
  <si>
    <t>Área de atuação maior do que a OBM consegue atender com qualidade</t>
  </si>
  <si>
    <t>Parcerias e Convênios com outros órgãos e Instituições. Por exemplo: Ministério Público do Trabalho.</t>
  </si>
  <si>
    <t>Demografia</t>
  </si>
  <si>
    <t>Capacitação dos militares para limpeza correta dos materiais e viaturas</t>
  </si>
  <si>
    <t>Usinas, Hidrelétricas, Indústrias, Edificações</t>
  </si>
  <si>
    <t xml:space="preserve">Roberto Wanderley Amorim Júnior </t>
  </si>
  <si>
    <t>BBS - Batalhão de Busca e Salvamento</t>
  </si>
  <si>
    <t>Clima organizacional favorável, Espírito de corpo / companherismo, Efetivo qualificado / capacitação técnica, Dedicação, compromisso e disciplina de seus integrantes, Cursos e treinamentos disponibilizados</t>
  </si>
  <si>
    <t>Falta de materiais, equipamentos e viaturas adequados, Baixo efetivo, Baixa valorização profissional</t>
  </si>
  <si>
    <t>Apoio governamental, Legislação em vigor, Lei da força tarefa e lei de promoções.</t>
  </si>
  <si>
    <t>Lei da Força Tarefa e Lei de promoções.</t>
  </si>
  <si>
    <t>Bombeiros civis e voluntários, Influência de outros órgãos/instituições, Ausência de critérios objetivos de valorização profissional, ausência de avaliação de desempenho, classificações que mudam toda hora, transferências, as pessoas não ocupam posição de destaque na corporação.</t>
  </si>
  <si>
    <t>Propostas que valorizem o meio ambiente, por exemplo, a captura de abelhas ser de uma forma a soltura em outro local e não o extermínio, isso poderia oportunizar alguma parceria com orgãos privados ou até com algum órgão ambiental. 
Proposta de Lei que obrigasse o bombeiro a credenciar escola ou atividades envolvendo altura e isso pudesse gerar mais recursos ao Estado.</t>
  </si>
  <si>
    <t>Rios, Lagos, Relevo</t>
  </si>
  <si>
    <t>Criação de sala de assepsia, Geração de energia solar, Licença ambiental, Capacitação dos militares para limpeza correta dos materiais e viaturas</t>
  </si>
  <si>
    <t>Rondnelli Rodrigues de Barros</t>
  </si>
  <si>
    <t>6º BBM - Penedo</t>
  </si>
  <si>
    <t>Clima organizacional favorável, Espírito de corpo / companherismo, Honestidade / probidade de seus integrantes, Dedicação, compromisso e disciplina de seus integrantes, Proatividade da tropa na solução de problemas, Materiais, equipamentos e viaturas disponibilizados</t>
  </si>
  <si>
    <t>Efetivo desqualificado / sem capacitação técnica, Falta de cursos e treinamentos, Problemas de comunicação, Baixa capacitação / qualificação do efetivo</t>
  </si>
  <si>
    <t>Escassez de recurso financeiro, Desastres naturais na região</t>
  </si>
  <si>
    <t>Atualmente desconheço formas de captação de recursos para o 6º BBM.</t>
  </si>
  <si>
    <t>Rios, Relevo</t>
  </si>
  <si>
    <t>Geração de energia solar, Licença ambiental, Capacitação dos militares para limpeza correta dos materiais e viaturas</t>
  </si>
  <si>
    <t xml:space="preserve">Usinas, Incêndio no comércio de Penedo. Vários prédios antigos com uma carga de incêndio muito elevada. </t>
  </si>
  <si>
    <t>JOAQUIM KENZO ANDRADE KISHIHSITA</t>
  </si>
  <si>
    <t>80710-9</t>
  </si>
  <si>
    <t>BI - Batalhão de Incêndio</t>
  </si>
  <si>
    <t>Clima organizacional favorável, Espírito de corpo / companherismo, Dedicação, compromisso e disciplina de seus integrantes, Militarismo, hierarquia e disciplina, Imagem, credibilidade e reconhecimento institucional</t>
  </si>
  <si>
    <t>Ausência de projetos sociais, Falta de materiais, equipamentos e viaturas adequados, Baixo efetivo, Área de cobertura abrangente, Estrutura física de trabalho inadequada, Estrutura física de treinamento insuficiente, Baixa valorização profissional, Baixa capacitação / qualificação do efetivo</t>
  </si>
  <si>
    <t>Influência de outros órgãos/instituições, Escassez de recurso financeiro, Disseminação negativa pela imprensa, Desastres naturais na região</t>
  </si>
  <si>
    <t xml:space="preserve">INVESTIMENTO EM PROGRAMAS SOCIAIS </t>
  </si>
  <si>
    <t>Demografia, Vegetação</t>
  </si>
  <si>
    <t>Criação de sala de assepsia, Licença ambiental, Capacitação dos militares para limpeza correta dos materiais e viaturas</t>
  </si>
  <si>
    <t xml:space="preserve">Indústrias, Edificações, EVENTOS OU EDIFICAÇÕES SEM O ALVARÁ DO CBMAL </t>
  </si>
  <si>
    <t>Igor da Silva Pontes</t>
  </si>
  <si>
    <t>80816-4</t>
  </si>
  <si>
    <t>4º BBM -  Palmeira dos Índios</t>
  </si>
  <si>
    <t>Clima organizacional favorável, Espírito de corpo / companherismo, Efetivo qualificado / capacitação técnica, Dedicação, compromisso e disciplina de seus integrantes, Serviço prestado com excelência, Proatividade da tropa na solução de problemas, Projetos sociais desenvolvidos, Nobreza e recompensa da missão, Militarismo, hierarquia e disciplina, Cursos e treinamentos disponibilizados, Valorização profissional, Remuneração, Materiais, equipamentos e viaturas disponibilizados</t>
  </si>
  <si>
    <t>Problemas de comunicação, Área de cobertura abrangente</t>
  </si>
  <si>
    <t>Credibilidade do Corpo de Bombeiros Militar, Apoio governamental, Integração com outras instituições, Bom relacionamento com a imprensa, Parceria ou convênios com instituições/empresas</t>
  </si>
  <si>
    <t>Bombeiros civis e voluntários, Influência de outros órgãos/instituições</t>
  </si>
  <si>
    <t>Mais ações de fiscalização dos serviços técnicos</t>
  </si>
  <si>
    <t>Criação de sala de assepsia, Recolhimento de resíduos sólidos e líquidos</t>
  </si>
  <si>
    <t>Edificações</t>
  </si>
  <si>
    <t>Tenente</t>
  </si>
  <si>
    <t xml:space="preserve">Jonatham da Silva Oliveira </t>
  </si>
  <si>
    <t>80814-8</t>
  </si>
  <si>
    <t>3º BBM - União dos Palmares</t>
  </si>
  <si>
    <t>Clima organizacional favorável, Espírito de corpo / companherismo, Honestidade / probidade de seus integrantes, Efetivo qualificado / capacitação técnica, Dedicação, compromisso e disciplina de seus integrantes, Serviço prestado com excelência, Proatividade da tropa na solução de problemas, Imagem, credibilidade e reconhecimento institucional, Remuneração, Materiais, equipamentos e viaturas disponibilizados</t>
  </si>
  <si>
    <t xml:space="preserve">Ausência de projetos sociais, Falta de cursos e treinamentos, Baixo efetivo, Área de cobertura abrangente, Estrutura física de trabalho inadequada, Baixa valorização profissional, Estrutura fisica me refiro ao posto de Joaquim Gomes </t>
  </si>
  <si>
    <t xml:space="preserve">Com as prefeituras de União dos Palmares e Joaquim Gomes </t>
  </si>
  <si>
    <t>Bombeiros civis e voluntários, Influência de outros órgãos/instituições, Área de atuação maior do que a OBM consegue atender com qualidade</t>
  </si>
  <si>
    <t xml:space="preserve">Melhoras nas atividades técnicas de fiscalização e vistoria e inclemente da taxa de bombeiros </t>
  </si>
  <si>
    <t>Rios, Vegetação</t>
  </si>
  <si>
    <t>Usinas, Indústrias, Edificações</t>
  </si>
  <si>
    <t>Rômulo Silva Guedes de Araújo</t>
  </si>
  <si>
    <t>80579-3</t>
  </si>
  <si>
    <t>9º BBM - Santana do Ipanema</t>
  </si>
  <si>
    <t>Espírito de corpo / companherismo, Dedicação, compromisso e disciplina de seus integrantes, Serviço prestado com excelência, Proatividade da tropa na solução de problemas, Nobreza e recompensa da missão, Imagem, credibilidade e reconhecimento institucional, Comunicação social, Remuneração, Sistemas digitais próprios</t>
  </si>
  <si>
    <t>Clima organizacional desfavorável, Ausência de projetos sociais, Falta de materiais, equipamentos e viaturas adequados, Baixo efetivo, Área de cobertura abrangente, Estrutura física de trabalho inadequada, Estrutura física de treinamento insuficiente</t>
  </si>
  <si>
    <t>Credibilidade do Corpo de Bombeiros Militar, Integração com outras instituições, Bom relacionamento com a imprensa, Legislação em vigor</t>
  </si>
  <si>
    <t>Organização basica</t>
  </si>
  <si>
    <t>Bombeiros civis e voluntários, Influência de outros órgãos/instituições, Área de atuação maior do que a OBM consegue atender com qualidade, Escassez de recurso financeiro</t>
  </si>
  <si>
    <t xml:space="preserve">Descentralização orçamentária </t>
  </si>
  <si>
    <t>Rios, Relevo, Vegetação, Clima</t>
  </si>
  <si>
    <t>Criação de sala de assepsia, Geração de energia solar</t>
  </si>
  <si>
    <t>Hidrelétricas, Indústrias</t>
  </si>
  <si>
    <t>PERGUNTA</t>
  </si>
  <si>
    <t>RESPOSTAS</t>
  </si>
  <si>
    <t>QTD RESPOSTAS</t>
  </si>
  <si>
    <t>%</t>
  </si>
  <si>
    <t>CRITÉRIO</t>
  </si>
  <si>
    <t>AVALIAÇÃO</t>
  </si>
  <si>
    <t>MAIOR MELHOR</t>
  </si>
  <si>
    <t>FORÇA</t>
  </si>
  <si>
    <t>Não</t>
  </si>
  <si>
    <t>MELHORAR</t>
  </si>
  <si>
    <t>Clima organizacional favorável</t>
  </si>
  <si>
    <t>Espírito de corpo / companherismo</t>
  </si>
  <si>
    <t>Honestidade / probidade de seus integrantes</t>
  </si>
  <si>
    <t>FRAQUEZA</t>
  </si>
  <si>
    <t>Efetivo qualificado / capacitação técnica</t>
  </si>
  <si>
    <t>Dedicação, compromisso e disciplina de seus integrantes</t>
  </si>
  <si>
    <t>Serviço prestado com excelência</t>
  </si>
  <si>
    <t>Proatividade da tropa na solução de problemas</t>
  </si>
  <si>
    <t>Projetos sociais desenvolvidos</t>
  </si>
  <si>
    <t>Nobreza e recompensa da missão</t>
  </si>
  <si>
    <t>Militarismo, hierarquia e disciplina</t>
  </si>
  <si>
    <t>Imagem, credibilidade e reconhecimento institucional</t>
  </si>
  <si>
    <t>Cursos e treinamentos disponibilizados</t>
  </si>
  <si>
    <t>Comunicação social</t>
  </si>
  <si>
    <t>Valorização profissional</t>
  </si>
  <si>
    <t>Aprimoramento / melhoria contínua</t>
  </si>
  <si>
    <t>Remuneração</t>
  </si>
  <si>
    <t>Sistemas digitais próprios</t>
  </si>
  <si>
    <t>Materiais, equipamentos e viaturas disponibilizados</t>
  </si>
  <si>
    <t>Clima organizacional desfavorável</t>
  </si>
  <si>
    <t>MENOR MELHOR</t>
  </si>
  <si>
    <t>Baixo espírito de corpo / companherismo</t>
  </si>
  <si>
    <t>Desonestidade / improbidade de seus integrantes</t>
  </si>
  <si>
    <t>Efetivo desqualificado / sem capacitação técnica</t>
  </si>
  <si>
    <t>Baixa dedicação, compromisso e disciplina de seus integrantes</t>
  </si>
  <si>
    <t>Serviço prestado com baixa qualidade, gerando insatisfação da sociedade</t>
  </si>
  <si>
    <t>Baixa proatividade da tropa na solução de problemas</t>
  </si>
  <si>
    <t>Ausência de projetos sociais</t>
  </si>
  <si>
    <t>Falta de cursos e treinamentos</t>
  </si>
  <si>
    <t>Problemas de comunicação</t>
  </si>
  <si>
    <t>Falta de materiais, equipamentos e viaturas adequados</t>
  </si>
  <si>
    <t>Baixo efetivo</t>
  </si>
  <si>
    <t>Área de cobertura abrangente</t>
  </si>
  <si>
    <t>Estrutura física de trabalho inadequada</t>
  </si>
  <si>
    <t>Estrutura física de treinamento insuficiente</t>
  </si>
  <si>
    <t>Baixa valorização profissional</t>
  </si>
  <si>
    <t>Baixa capacitação / qualificação do efetivo</t>
  </si>
  <si>
    <t>No contexto da sua OBM, quais OPORTUNIDADES podem ser identificadas na atualidade? Considere oportunidades como forças externas que impactam positivamente a sua unidade.</t>
  </si>
  <si>
    <t>OPORTUNIDADE</t>
  </si>
  <si>
    <t>Apoio governamental</t>
  </si>
  <si>
    <t>Integração com outras instituições</t>
  </si>
  <si>
    <t>Bom relacionamento com a imprensa</t>
  </si>
  <si>
    <t>Legislação em vigor</t>
  </si>
  <si>
    <t>Parceria ou convênios com instituições/empresas</t>
  </si>
  <si>
    <t>Bombeiros civis e voluntários</t>
  </si>
  <si>
    <t>Influência de outros órgãos/instituições</t>
  </si>
  <si>
    <t>AMEAÇA</t>
  </si>
  <si>
    <t>Escassez de recurso financeiro</t>
  </si>
  <si>
    <t>Disseminação negativa pela imprensa</t>
  </si>
  <si>
    <t>Desastres naturais na região</t>
  </si>
  <si>
    <t>Lagos</t>
  </si>
  <si>
    <t>Relevo</t>
  </si>
  <si>
    <t>Vegetação</t>
  </si>
  <si>
    <t>Clima</t>
  </si>
  <si>
    <t>Criação de sala de assepsia</t>
  </si>
  <si>
    <t>Recolhimento de resíduos sólidos e líquidos</t>
  </si>
  <si>
    <t>Geração de energia solar</t>
  </si>
  <si>
    <t>Licença ambiental</t>
  </si>
  <si>
    <t>Viatura para assepsia de mergulhadores</t>
  </si>
  <si>
    <t>Usinas</t>
  </si>
  <si>
    <t>Hidrelétricas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</si>
</sst>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10">
    <font>
      <sz val="10.0"/>
      <color rgb="FF000000"/>
      <name val="Arial"/>
      <scheme val="minor"/>
    </font>
    <font>
      <color theme="1"/>
      <name val="Arial"/>
      <scheme val="minor"/>
    </font>
    <font>
      <color rgb="FF434343"/>
      <name val="Docs-Roboto"/>
    </font>
    <font>
      <sz val="11.0"/>
      <color rgb="FF000000"/>
      <name val="Arial"/>
    </font>
    <font>
      <color rgb="FF434343"/>
      <name val="Roboto"/>
    </font>
    <font>
      <b/>
      <sz val="12.0"/>
      <color theme="1"/>
      <name val="Arial"/>
      <scheme val="minor"/>
    </font>
    <font>
      <b/>
      <sz val="12.0"/>
      <color theme="1"/>
      <name val="Arial"/>
    </font>
    <font>
      <b/>
      <color theme="1"/>
      <name val="Arial"/>
      <scheme val="minor"/>
    </font>
    <font>
      <b/>
      <sz val="12.0"/>
      <color rgb="FF434343"/>
      <name val="Roboto"/>
    </font>
    <font>
      <b/>
      <sz val="12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3">
    <border/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7" fillId="0" fontId="1" numFmtId="164" xfId="0" applyAlignment="1" applyBorder="1" applyFont="1" applyNumberForma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5" fillId="2" fontId="2" numFmtId="0" xfId="0" applyAlignment="1" applyBorder="1" applyFill="1" applyFont="1">
      <alignment horizontal="left" readingOrder="0" shrinkToFit="0" vertical="center" wrapText="0"/>
    </xf>
    <xf borderId="10" fillId="0" fontId="1" numFmtId="164" xfId="0" applyAlignment="1" applyBorder="1" applyFont="1" applyNumberForma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2" fillId="0" fontId="1" numFmtId="0" xfId="0" applyAlignment="1" applyBorder="1" applyFont="1">
      <alignment readingOrder="0" shrinkToFit="0" vertical="center" wrapText="0"/>
    </xf>
    <xf borderId="0" fillId="0" fontId="1" numFmtId="0" xfId="0" applyAlignment="1" applyFont="1">
      <alignment readingOrder="0"/>
    </xf>
    <xf borderId="0" fillId="0" fontId="1" numFmtId="10" xfId="0" applyAlignment="1" applyFont="1" applyNumberFormat="1">
      <alignment readingOrder="0"/>
    </xf>
    <xf borderId="0" fillId="0" fontId="3" numFmtId="0" xfId="0" applyFont="1"/>
    <xf borderId="0" fillId="0" fontId="1" numFmtId="2" xfId="0" applyFont="1" applyNumberFormat="1"/>
    <xf borderId="0" fillId="2" fontId="4" numFmtId="0" xfId="0" applyAlignment="1" applyFont="1">
      <alignment horizontal="left" readingOrder="0"/>
    </xf>
    <xf borderId="13" fillId="0" fontId="5" numFmtId="0" xfId="0" applyAlignment="1" applyBorder="1" applyFont="1">
      <alignment horizontal="left" readingOrder="0" shrinkToFit="0" vertical="center" wrapText="0"/>
    </xf>
    <xf borderId="14" fillId="0" fontId="5" numFmtId="0" xfId="0" applyAlignment="1" applyBorder="1" applyFont="1">
      <alignment horizontal="left" readingOrder="0" shrinkToFit="0" vertical="center" wrapText="0"/>
    </xf>
    <xf borderId="15" fillId="0" fontId="5" numFmtId="0" xfId="0" applyAlignment="1" applyBorder="1" applyFont="1">
      <alignment horizontal="left" readingOrder="0" shrinkToFit="0" vertical="center" wrapText="0"/>
    </xf>
    <xf borderId="16" fillId="0" fontId="5" numFmtId="0" xfId="0" applyAlignment="1" applyBorder="1" applyFont="1">
      <alignment readingOrder="0" shrinkToFit="0" vertical="center" wrapText="1"/>
    </xf>
    <xf borderId="16" fillId="0" fontId="6" numFmtId="0" xfId="0" applyAlignment="1" applyBorder="1" applyFont="1">
      <alignment shrinkToFit="0" vertical="bottom" wrapText="1"/>
    </xf>
    <xf borderId="16" fillId="0" fontId="5" numFmtId="0" xfId="0" applyAlignment="1" applyBorder="1" applyFont="1">
      <alignment shrinkToFit="0" vertical="center" wrapText="1"/>
    </xf>
    <xf borderId="16" fillId="0" fontId="5" numFmtId="9" xfId="0" applyAlignment="1" applyBorder="1" applyFont="1" applyNumberFormat="1">
      <alignment horizontal="center" shrinkToFit="0" vertical="center" wrapText="1"/>
    </xf>
    <xf borderId="16" fillId="0" fontId="7" numFmtId="0" xfId="0" applyAlignment="1" applyBorder="1" applyFont="1">
      <alignment shrinkToFit="0" vertical="center" wrapText="1"/>
    </xf>
    <xf borderId="17" fillId="0" fontId="5" numFmtId="0" xfId="0" applyAlignment="1" applyBorder="1" applyFont="1">
      <alignment shrinkToFit="0" vertical="center" wrapText="1"/>
    </xf>
    <xf borderId="16" fillId="2" fontId="8" numFmtId="0" xfId="0" applyAlignment="1" applyBorder="1" applyFont="1">
      <alignment shrinkToFit="0" vertical="bottom" wrapText="1"/>
    </xf>
    <xf borderId="18" fillId="0" fontId="5" numFmtId="0" xfId="0" applyAlignment="1" applyBorder="1" applyFont="1">
      <alignment shrinkToFit="0" vertical="center" wrapText="0"/>
    </xf>
    <xf borderId="17" fillId="0" fontId="5" numFmtId="0" xfId="0" applyAlignment="1" applyBorder="1" applyFont="1">
      <alignment readingOrder="0" shrinkToFit="0" vertical="center" wrapText="1"/>
    </xf>
    <xf borderId="19" fillId="0" fontId="5" numFmtId="0" xfId="0" applyAlignment="1" applyBorder="1" applyFont="1">
      <alignment readingOrder="0" shrinkToFit="0" vertical="center" wrapText="1"/>
    </xf>
    <xf borderId="19" fillId="0" fontId="5" numFmtId="0" xfId="0" applyAlignment="1" applyBorder="1" applyFont="1">
      <alignment shrinkToFit="0" vertical="center" wrapText="1"/>
    </xf>
    <xf borderId="19" fillId="0" fontId="7" numFmtId="0" xfId="0" applyAlignment="1" applyBorder="1" applyFont="1">
      <alignment shrinkToFit="0" vertical="center" wrapText="1"/>
    </xf>
    <xf borderId="20" fillId="0" fontId="7" numFmtId="0" xfId="0" applyAlignment="1" applyBorder="1" applyFont="1">
      <alignment shrinkToFit="0" vertical="center" wrapText="1"/>
    </xf>
    <xf borderId="16" fillId="0" fontId="5" numFmtId="0" xfId="0" applyAlignment="1" applyBorder="1" applyFont="1">
      <alignment readingOrder="0" shrinkToFit="0" vertical="center" wrapText="1"/>
    </xf>
    <xf borderId="16" fillId="0" fontId="7" numFmtId="0" xfId="0" applyAlignment="1" applyBorder="1" applyFont="1">
      <alignment readingOrder="0" shrinkToFit="0" vertical="center" wrapText="1"/>
    </xf>
    <xf borderId="18" fillId="0" fontId="5" numFmtId="0" xfId="0" applyAlignment="1" applyBorder="1" applyFont="1">
      <alignment readingOrder="0" shrinkToFit="0" vertical="center" wrapText="1"/>
    </xf>
    <xf borderId="5" fillId="0" fontId="5" numFmtId="0" xfId="0" applyAlignment="1" applyBorder="1" applyFont="1">
      <alignment shrinkToFit="0" vertical="center" wrapText="1"/>
    </xf>
    <xf borderId="5" fillId="0" fontId="7" numFmtId="0" xfId="0" applyAlignment="1" applyBorder="1" applyFont="1">
      <alignment shrinkToFit="0" vertical="center" wrapText="1"/>
    </xf>
    <xf borderId="21" fillId="0" fontId="7" numFmtId="0" xfId="0" applyAlignment="1" applyBorder="1" applyFont="1">
      <alignment shrinkToFit="0" vertical="center" wrapText="1"/>
    </xf>
    <xf borderId="16" fillId="2" fontId="9" numFmtId="0" xfId="0" applyAlignment="1" applyBorder="1" applyFont="1">
      <alignment readingOrder="0" shrinkToFit="0" vertical="center" wrapText="1"/>
    </xf>
    <xf borderId="18" fillId="0" fontId="5" numFmtId="0" xfId="0" applyAlignment="1" applyBorder="1" applyFont="1">
      <alignment readingOrder="0" shrinkToFit="0" vertical="center" wrapText="0"/>
    </xf>
    <xf borderId="16" fillId="0" fontId="5" numFmtId="0" xfId="0" applyAlignment="1" applyBorder="1" applyFont="1">
      <alignment readingOrder="0" shrinkToFit="0" vertical="center" wrapText="0"/>
    </xf>
    <xf borderId="16" fillId="0" fontId="7" numFmtId="0" xfId="0" applyAlignment="1" applyBorder="1" applyFont="1">
      <alignment shrinkToFit="0" vertical="center" wrapText="0"/>
    </xf>
    <xf borderId="22" fillId="0" fontId="5" numFmtId="0" xfId="0" applyAlignment="1" applyBorder="1" applyFont="1">
      <alignment readingOrder="0" shrinkToFit="0" vertical="center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2">
    <tableStyle count="3" pivot="0" name="Respostas ao formulário 1-style">
      <tableStyleElement dxfId="1" type="headerRow"/>
      <tableStyleElement dxfId="2" type="firstRowStripe"/>
      <tableStyleElement dxfId="3" type="secondRowStripe"/>
    </tableStyle>
    <tableStyle count="3" pivot="0" name="ANÁLISE-style">
      <tableStyleElement dxfId="4" type="headerRow"/>
      <tableStyleElement dxfId="2" type="firstRowStripe"/>
      <tableStyleElement dxfId="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R12" displayName="Form_Responses1" name="Form_Responses1" id="1">
  <tableColumns count="18">
    <tableColumn name="Carimbo de data/hora" id="1"/>
    <tableColumn name="Qual seu posto?" id="2"/>
    <tableColumn name="Qual seu nome completo?" id="3"/>
    <tableColumn name="Qual sua matrícula?" id="4"/>
    <tableColumn name="Qual sua OBM?" id="5"/>
    <tableColumn name="O relacionamento entre o Comando da OBM e a tropa é satisfatório?" id="6"/>
    <tableColumn name="Qual o tipo de relacionamento com os órgãos federais em seu município?" id="7"/>
    <tableColumn name="Qual o tipo de relacionamento com os órgãos estaduais em seu município?" id="8"/>
    <tableColumn name="Qual o tipo de relacionamento com os órgãos municipais em seu município?" id="9"/>
    <tableColumn name="Cite pontos FORTES de sua OBM, considerando pontos fortes como fatores internos que correspondem a coisas que sua OBM já está fazendo bem:" id="10"/>
    <tableColumn name="Cite FRAQUEZAS que considera relevantes para sua OBM, considerando-as como pontos que podem prejudicar e/ou interferir negativamente no andamento do trabalho da unidade:" id="11"/>
    <tableColumn name="No contexto da sua OBM, quais OPORTUNIDADES podem ser identificadas na atualidade? Considere oportunidades como  forças externas que impactam positivamente a sua unidade." id="12"/>
    <tableColumn name="Caso tenha marcado a opção &quot;Legislação em vigor&quot;, cite o número da Lei a que se refere; e caso tenha marcado a opção &quot;Parceria ou convênios com instituições/empresas&quot;, cite as instituições/empresas com as quais a OBM tem parceria." id="13"/>
    <tableColumn name="No contexto da sua OBM, quais AMEAÇAS podem ser identificadas na atualidade?  Ameaças, podem ser definidas como aquelas situações, presentes ou futuras, que proporcionam condições desfavoráveis à consecução de seus objetivos." id="14"/>
    <tableColumn name="No seu ponto de vista, quais ações podem ser desenvolvidas em sua OBM para melhorar a captação de recursos?" id="15"/>
    <tableColumn name="Em relação às questões ambientais, cite aquelas que podem ser consideradas AMEAÇAS para sua OBM que geram desastres de grande vulto e/ou porte:" id="16"/>
    <tableColumn name="Quais medidas de sustentabilidade podem ser adotadas para tornar sua OBM ambientalmente correta?" id="17"/>
    <tableColumn name="Em relação a locais de risco, mencione quais podem ser considerados AMEAÇAS que geram desastres de grande vulto e/ou porte no âmbito de sua OBM." id="18"/>
  </tableColumns>
  <tableStyleInfo name="Respostas ao formulário 1-style" showColumnStripes="0" showFirstColumn="1" showLastColumn="1" showRowStripes="1"/>
</table>
</file>

<file path=xl/tables/table2.xml><?xml version="1.0" encoding="utf-8"?>
<table xmlns="http://schemas.openxmlformats.org/spreadsheetml/2006/main" ref="A1:F97" displayName="Tabela_1" name="Tabela_1" id="2">
  <autoFilter ref="$A$1:$F$97">
    <filterColumn colId="5">
      <filters blank="1">
        <filter val="FRAQUEZA"/>
        <filter val="AMEAÇA"/>
        <filter val="FORÇA"/>
      </filters>
    </filterColumn>
  </autoFilter>
  <tableColumns count="6">
    <tableColumn name="PERGUNTA" id="1"/>
    <tableColumn name="RESPOSTAS" id="2"/>
    <tableColumn name="QTD RESPOSTAS" id="3"/>
    <tableColumn name="%" id="4"/>
    <tableColumn name="CRITÉRIO" id="5"/>
    <tableColumn name="AVALIAÇÃO" id="6"/>
  </tableColumns>
  <tableStyleInfo name="ANÁLIS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18.88"/>
    <col customWidth="1" min="3" max="3" width="24.25"/>
    <col customWidth="1" min="4" max="4" width="19.75"/>
    <col customWidth="1" min="5" max="5" width="18.88"/>
    <col customWidth="1" min="6" max="18" width="37.63"/>
    <col customWidth="1" min="19" max="24" width="18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</row>
    <row r="2">
      <c r="A2" s="4">
        <v>45576.55042703704</v>
      </c>
      <c r="B2" s="5" t="s">
        <v>18</v>
      </c>
      <c r="C2" s="5" t="s">
        <v>19</v>
      </c>
      <c r="D2" s="5" t="s">
        <v>20</v>
      </c>
      <c r="E2" s="5" t="s">
        <v>21</v>
      </c>
      <c r="F2" s="5" t="s">
        <v>22</v>
      </c>
      <c r="G2" s="5" t="s">
        <v>23</v>
      </c>
      <c r="H2" s="5" t="s">
        <v>24</v>
      </c>
      <c r="I2" s="5" t="s">
        <v>23</v>
      </c>
      <c r="J2" s="5" t="s">
        <v>25</v>
      </c>
      <c r="K2" s="5" t="s">
        <v>26</v>
      </c>
      <c r="L2" s="5" t="s">
        <v>27</v>
      </c>
      <c r="M2" s="6"/>
      <c r="N2" s="5" t="s">
        <v>28</v>
      </c>
      <c r="O2" s="5" t="s">
        <v>29</v>
      </c>
      <c r="P2" s="5" t="s">
        <v>30</v>
      </c>
      <c r="Q2" s="5" t="s">
        <v>31</v>
      </c>
      <c r="R2" s="7" t="s">
        <v>32</v>
      </c>
    </row>
    <row r="3">
      <c r="A3" s="8">
        <v>45578.811117627316</v>
      </c>
      <c r="B3" s="9" t="s">
        <v>33</v>
      </c>
      <c r="C3" s="9" t="s">
        <v>34</v>
      </c>
      <c r="D3" s="9">
        <v>805734.0</v>
      </c>
      <c r="E3" s="9" t="s">
        <v>35</v>
      </c>
      <c r="F3" s="9" t="s">
        <v>22</v>
      </c>
      <c r="G3" s="9" t="s">
        <v>36</v>
      </c>
      <c r="H3" s="9" t="s">
        <v>24</v>
      </c>
      <c r="I3" s="9" t="s">
        <v>37</v>
      </c>
      <c r="J3" s="9" t="s">
        <v>38</v>
      </c>
      <c r="K3" s="9" t="s">
        <v>39</v>
      </c>
      <c r="L3" s="9" t="s">
        <v>40</v>
      </c>
      <c r="M3" s="10"/>
      <c r="N3" s="9" t="s">
        <v>41</v>
      </c>
      <c r="O3" s="9" t="s">
        <v>42</v>
      </c>
      <c r="P3" s="9" t="s">
        <v>43</v>
      </c>
      <c r="Q3" s="9" t="s">
        <v>44</v>
      </c>
      <c r="R3" s="11" t="s">
        <v>45</v>
      </c>
    </row>
    <row r="4">
      <c r="A4" s="4">
        <v>45579.37946921296</v>
      </c>
      <c r="B4" s="5" t="s">
        <v>33</v>
      </c>
      <c r="C4" s="5" t="s">
        <v>46</v>
      </c>
      <c r="D4" s="5">
        <v>808245.0</v>
      </c>
      <c r="E4" s="5" t="s">
        <v>47</v>
      </c>
      <c r="F4" s="5" t="s">
        <v>22</v>
      </c>
      <c r="G4" s="5" t="s">
        <v>24</v>
      </c>
      <c r="H4" s="5" t="s">
        <v>48</v>
      </c>
      <c r="I4" s="5" t="s">
        <v>48</v>
      </c>
      <c r="J4" s="5" t="s">
        <v>49</v>
      </c>
      <c r="K4" s="5" t="s">
        <v>50</v>
      </c>
      <c r="L4" s="5" t="s">
        <v>51</v>
      </c>
      <c r="M4" s="6"/>
      <c r="N4" s="5" t="s">
        <v>52</v>
      </c>
      <c r="O4" s="5" t="s">
        <v>53</v>
      </c>
      <c r="P4" s="5" t="s">
        <v>54</v>
      </c>
      <c r="Q4" s="5" t="s">
        <v>55</v>
      </c>
      <c r="R4" s="7" t="s">
        <v>56</v>
      </c>
    </row>
    <row r="5">
      <c r="A5" s="8">
        <v>45580.35222664352</v>
      </c>
      <c r="B5" s="9" t="s">
        <v>33</v>
      </c>
      <c r="C5" s="9" t="s">
        <v>57</v>
      </c>
      <c r="D5" s="9" t="s">
        <v>58</v>
      </c>
      <c r="E5" s="9" t="s">
        <v>59</v>
      </c>
      <c r="F5" s="9" t="s">
        <v>22</v>
      </c>
      <c r="G5" s="9" t="s">
        <v>23</v>
      </c>
      <c r="H5" s="9" t="s">
        <v>23</v>
      </c>
      <c r="I5" s="9" t="s">
        <v>23</v>
      </c>
      <c r="J5" s="9" t="s">
        <v>60</v>
      </c>
      <c r="K5" s="9" t="s">
        <v>61</v>
      </c>
      <c r="L5" s="9" t="s">
        <v>62</v>
      </c>
      <c r="M5" s="10"/>
      <c r="N5" s="9" t="s">
        <v>63</v>
      </c>
      <c r="O5" s="9" t="s">
        <v>64</v>
      </c>
      <c r="P5" s="9" t="s">
        <v>43</v>
      </c>
      <c r="Q5" s="9" t="s">
        <v>65</v>
      </c>
      <c r="R5" s="11" t="s">
        <v>66</v>
      </c>
    </row>
    <row r="6">
      <c r="A6" s="4">
        <v>45580.41716675926</v>
      </c>
      <c r="B6" s="5" t="s">
        <v>33</v>
      </c>
      <c r="C6" s="5" t="s">
        <v>67</v>
      </c>
      <c r="D6" s="5">
        <v>805750.0</v>
      </c>
      <c r="E6" s="5" t="s">
        <v>68</v>
      </c>
      <c r="F6" s="5" t="s">
        <v>22</v>
      </c>
      <c r="G6" s="5" t="s">
        <v>24</v>
      </c>
      <c r="H6" s="5" t="s">
        <v>24</v>
      </c>
      <c r="I6" s="5" t="s">
        <v>24</v>
      </c>
      <c r="J6" s="5" t="s">
        <v>69</v>
      </c>
      <c r="K6" s="5" t="s">
        <v>70</v>
      </c>
      <c r="L6" s="5" t="s">
        <v>71</v>
      </c>
      <c r="M6" s="6"/>
      <c r="N6" s="5" t="s">
        <v>72</v>
      </c>
      <c r="O6" s="5" t="s">
        <v>73</v>
      </c>
      <c r="P6" s="5" t="s">
        <v>74</v>
      </c>
      <c r="Q6" s="5" t="s">
        <v>75</v>
      </c>
      <c r="R6" s="7" t="s">
        <v>76</v>
      </c>
    </row>
    <row r="7">
      <c r="A7" s="8">
        <v>45580.45608488426</v>
      </c>
      <c r="B7" s="9" t="s">
        <v>33</v>
      </c>
      <c r="C7" s="9" t="s">
        <v>77</v>
      </c>
      <c r="D7" s="9">
        <v>805823.0</v>
      </c>
      <c r="E7" s="9" t="s">
        <v>78</v>
      </c>
      <c r="F7" s="9" t="s">
        <v>22</v>
      </c>
      <c r="G7" s="9" t="s">
        <v>24</v>
      </c>
      <c r="H7" s="9" t="s">
        <v>24</v>
      </c>
      <c r="I7" s="9" t="s">
        <v>36</v>
      </c>
      <c r="J7" s="9" t="s">
        <v>79</v>
      </c>
      <c r="K7" s="9" t="s">
        <v>80</v>
      </c>
      <c r="L7" s="9" t="s">
        <v>81</v>
      </c>
      <c r="M7" s="9" t="s">
        <v>82</v>
      </c>
      <c r="N7" s="9" t="s">
        <v>83</v>
      </c>
      <c r="O7" s="9" t="s">
        <v>84</v>
      </c>
      <c r="P7" s="9" t="s">
        <v>85</v>
      </c>
      <c r="Q7" s="9" t="s">
        <v>86</v>
      </c>
      <c r="R7" s="11" t="s">
        <v>76</v>
      </c>
    </row>
    <row r="8">
      <c r="A8" s="4">
        <v>45581.51187203704</v>
      </c>
      <c r="B8" s="5" t="s">
        <v>33</v>
      </c>
      <c r="C8" s="5" t="s">
        <v>87</v>
      </c>
      <c r="D8" s="5">
        <v>805912.0</v>
      </c>
      <c r="E8" s="5" t="s">
        <v>88</v>
      </c>
      <c r="F8" s="5" t="s">
        <v>22</v>
      </c>
      <c r="G8" s="5" t="s">
        <v>24</v>
      </c>
      <c r="H8" s="5" t="s">
        <v>24</v>
      </c>
      <c r="I8" s="5" t="s">
        <v>24</v>
      </c>
      <c r="J8" s="5" t="s">
        <v>89</v>
      </c>
      <c r="K8" s="5" t="s">
        <v>90</v>
      </c>
      <c r="L8" s="5" t="s">
        <v>62</v>
      </c>
      <c r="M8" s="6"/>
      <c r="N8" s="5" t="s">
        <v>91</v>
      </c>
      <c r="O8" s="5" t="s">
        <v>92</v>
      </c>
      <c r="P8" s="5" t="s">
        <v>93</v>
      </c>
      <c r="Q8" s="5" t="s">
        <v>94</v>
      </c>
      <c r="R8" s="7" t="s">
        <v>95</v>
      </c>
    </row>
    <row r="9">
      <c r="A9" s="8">
        <v>45581.52852365741</v>
      </c>
      <c r="B9" s="9" t="s">
        <v>33</v>
      </c>
      <c r="C9" s="9" t="s">
        <v>96</v>
      </c>
      <c r="D9" s="9" t="s">
        <v>97</v>
      </c>
      <c r="E9" s="9" t="s">
        <v>98</v>
      </c>
      <c r="F9" s="9" t="s">
        <v>22</v>
      </c>
      <c r="G9" s="9" t="s">
        <v>23</v>
      </c>
      <c r="H9" s="9" t="s">
        <v>24</v>
      </c>
      <c r="I9" s="9" t="s">
        <v>23</v>
      </c>
      <c r="J9" s="9" t="s">
        <v>99</v>
      </c>
      <c r="K9" s="9" t="s">
        <v>100</v>
      </c>
      <c r="L9" s="9" t="s">
        <v>62</v>
      </c>
      <c r="M9" s="10"/>
      <c r="N9" s="9" t="s">
        <v>101</v>
      </c>
      <c r="O9" s="9" t="s">
        <v>102</v>
      </c>
      <c r="P9" s="9" t="s">
        <v>103</v>
      </c>
      <c r="Q9" s="9" t="s">
        <v>104</v>
      </c>
      <c r="R9" s="11" t="s">
        <v>105</v>
      </c>
    </row>
    <row r="10">
      <c r="A10" s="4">
        <v>45581.547121192125</v>
      </c>
      <c r="B10" s="12" t="s">
        <v>18</v>
      </c>
      <c r="C10" s="5" t="s">
        <v>106</v>
      </c>
      <c r="D10" s="5" t="s">
        <v>107</v>
      </c>
      <c r="E10" s="5" t="s">
        <v>108</v>
      </c>
      <c r="F10" s="5" t="s">
        <v>22</v>
      </c>
      <c r="G10" s="5" t="s">
        <v>24</v>
      </c>
      <c r="H10" s="5" t="s">
        <v>24</v>
      </c>
      <c r="I10" s="5" t="s">
        <v>24</v>
      </c>
      <c r="J10" s="5" t="s">
        <v>109</v>
      </c>
      <c r="K10" s="5" t="s">
        <v>110</v>
      </c>
      <c r="L10" s="5" t="s">
        <v>111</v>
      </c>
      <c r="M10" s="6"/>
      <c r="N10" s="5" t="s">
        <v>112</v>
      </c>
      <c r="O10" s="5" t="s">
        <v>113</v>
      </c>
      <c r="P10" s="5" t="s">
        <v>30</v>
      </c>
      <c r="Q10" s="5" t="s">
        <v>114</v>
      </c>
      <c r="R10" s="7" t="s">
        <v>115</v>
      </c>
    </row>
    <row r="11">
      <c r="A11" s="8">
        <v>45586.454530358795</v>
      </c>
      <c r="B11" s="9" t="s">
        <v>116</v>
      </c>
      <c r="C11" s="9" t="s">
        <v>117</v>
      </c>
      <c r="D11" s="9" t="s">
        <v>118</v>
      </c>
      <c r="E11" s="9" t="s">
        <v>119</v>
      </c>
      <c r="F11" s="9" t="s">
        <v>22</v>
      </c>
      <c r="G11" s="9" t="s">
        <v>23</v>
      </c>
      <c r="H11" s="9" t="s">
        <v>24</v>
      </c>
      <c r="I11" s="9" t="s">
        <v>48</v>
      </c>
      <c r="J11" s="9" t="s">
        <v>120</v>
      </c>
      <c r="K11" s="9" t="s">
        <v>121</v>
      </c>
      <c r="L11" s="9" t="s">
        <v>111</v>
      </c>
      <c r="M11" s="9" t="s">
        <v>122</v>
      </c>
      <c r="N11" s="9" t="s">
        <v>123</v>
      </c>
      <c r="O11" s="9" t="s">
        <v>124</v>
      </c>
      <c r="P11" s="9" t="s">
        <v>125</v>
      </c>
      <c r="Q11" s="9" t="s">
        <v>94</v>
      </c>
      <c r="R11" s="11" t="s">
        <v>126</v>
      </c>
    </row>
    <row r="12">
      <c r="A12" s="13">
        <v>45587.54403002315</v>
      </c>
      <c r="B12" s="14" t="s">
        <v>33</v>
      </c>
      <c r="C12" s="14" t="s">
        <v>127</v>
      </c>
      <c r="D12" s="14" t="s">
        <v>128</v>
      </c>
      <c r="E12" s="14" t="s">
        <v>129</v>
      </c>
      <c r="F12" s="14" t="s">
        <v>22</v>
      </c>
      <c r="G12" s="14" t="s">
        <v>23</v>
      </c>
      <c r="H12" s="14" t="s">
        <v>24</v>
      </c>
      <c r="I12" s="14" t="s">
        <v>48</v>
      </c>
      <c r="J12" s="14" t="s">
        <v>130</v>
      </c>
      <c r="K12" s="14" t="s">
        <v>131</v>
      </c>
      <c r="L12" s="14" t="s">
        <v>132</v>
      </c>
      <c r="M12" s="14" t="s">
        <v>133</v>
      </c>
      <c r="N12" s="14" t="s">
        <v>134</v>
      </c>
      <c r="O12" s="14" t="s">
        <v>135</v>
      </c>
      <c r="P12" s="14" t="s">
        <v>136</v>
      </c>
      <c r="Q12" s="14" t="s">
        <v>137</v>
      </c>
      <c r="R12" s="15" t="s">
        <v>138</v>
      </c>
    </row>
    <row r="15">
      <c r="B15" s="16"/>
      <c r="C15" s="17"/>
    </row>
    <row r="16">
      <c r="B16" s="16"/>
    </row>
    <row r="17">
      <c r="B17" s="16"/>
    </row>
    <row r="19">
      <c r="K19" s="18"/>
    </row>
    <row r="20">
      <c r="D20" s="19"/>
      <c r="L20" s="18"/>
    </row>
    <row r="21">
      <c r="B21" s="20"/>
      <c r="D21" s="19"/>
    </row>
    <row r="22">
      <c r="D22" s="19"/>
    </row>
    <row r="26">
      <c r="K26" s="18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3.5"/>
    <col customWidth="1" min="2" max="2" width="34.38"/>
    <col customWidth="1" min="3" max="3" width="20.88"/>
    <col customWidth="1" min="4" max="4" width="15.63"/>
    <col customWidth="1" min="5" max="5" width="17.5"/>
    <col customWidth="1" min="6" max="6" width="19.63"/>
  </cols>
  <sheetData>
    <row r="1">
      <c r="A1" s="21" t="s">
        <v>139</v>
      </c>
      <c r="B1" s="22" t="s">
        <v>140</v>
      </c>
      <c r="C1" s="22" t="s">
        <v>141</v>
      </c>
      <c r="D1" s="22" t="s">
        <v>142</v>
      </c>
      <c r="E1" s="22" t="s">
        <v>143</v>
      </c>
      <c r="F1" s="23" t="s">
        <v>144</v>
      </c>
    </row>
    <row r="2">
      <c r="A2" s="24" t="s">
        <v>1</v>
      </c>
      <c r="B2" s="25" t="s">
        <v>33</v>
      </c>
      <c r="C2" s="26">
        <f>COUNTIF(Form_Responses1[Qual seu posto?],B2)</f>
        <v>8</v>
      </c>
      <c r="D2" s="27">
        <f t="shared" ref="D2:D62" si="1">C2/11</f>
        <v>0.7272727273</v>
      </c>
      <c r="E2" s="28"/>
      <c r="F2" s="28"/>
    </row>
    <row r="3">
      <c r="A3" s="29"/>
      <c r="B3" s="30" t="s">
        <v>18</v>
      </c>
      <c r="C3" s="26">
        <f>COUNTIF(Form_Responses1[Qual seu posto?],B3)</f>
        <v>2</v>
      </c>
      <c r="D3" s="27">
        <f t="shared" si="1"/>
        <v>0.1818181818</v>
      </c>
      <c r="E3" s="28"/>
      <c r="F3" s="28"/>
    </row>
    <row r="4">
      <c r="A4" s="31"/>
      <c r="B4" s="25" t="s">
        <v>116</v>
      </c>
      <c r="C4" s="26">
        <f>COUNTIF(Form_Responses1[Qual seu posto?],B4)</f>
        <v>1</v>
      </c>
      <c r="D4" s="27">
        <f t="shared" si="1"/>
        <v>0.09090909091</v>
      </c>
      <c r="E4" s="28"/>
      <c r="F4" s="28"/>
    </row>
    <row r="5">
      <c r="A5" s="32"/>
      <c r="B5" s="33"/>
      <c r="C5" s="34"/>
      <c r="D5" s="27">
        <f t="shared" si="1"/>
        <v>0</v>
      </c>
      <c r="E5" s="35"/>
      <c r="F5" s="36"/>
    </row>
    <row r="6">
      <c r="A6" s="24" t="s">
        <v>5</v>
      </c>
      <c r="B6" s="37" t="s">
        <v>22</v>
      </c>
      <c r="C6" s="26">
        <f>COUNTIF(Form_Responses1[O relacionamento entre o Comando da OBM e a tropa é satisfatório?],B6)</f>
        <v>11</v>
      </c>
      <c r="D6" s="27">
        <f t="shared" si="1"/>
        <v>1</v>
      </c>
      <c r="E6" s="38" t="s">
        <v>145</v>
      </c>
      <c r="F6" s="38" t="s">
        <v>146</v>
      </c>
    </row>
    <row r="7">
      <c r="A7" s="32"/>
      <c r="B7" s="37" t="s">
        <v>147</v>
      </c>
      <c r="C7" s="26">
        <f>COUNTIF(Form_Responses1[O relacionamento entre o Comando da OBM e a tropa é satisfatório?],B7)</f>
        <v>0</v>
      </c>
      <c r="D7" s="27">
        <f t="shared" si="1"/>
        <v>0</v>
      </c>
      <c r="E7" s="28"/>
      <c r="F7" s="28"/>
    </row>
    <row r="8">
      <c r="A8" s="39"/>
      <c r="B8" s="40"/>
      <c r="C8" s="40"/>
      <c r="D8" s="27">
        <f t="shared" si="1"/>
        <v>0</v>
      </c>
      <c r="E8" s="41"/>
      <c r="F8" s="42"/>
    </row>
    <row r="9">
      <c r="A9" s="24" t="s">
        <v>6</v>
      </c>
      <c r="B9" s="37" t="s">
        <v>37</v>
      </c>
      <c r="C9" s="26">
        <f>COUNTIF(Form_Responses1[Qual o tipo de relacionamento com os órgãos federais em seu município?],B9)</f>
        <v>0</v>
      </c>
      <c r="D9" s="27">
        <f t="shared" si="1"/>
        <v>0</v>
      </c>
      <c r="E9" s="28"/>
      <c r="F9" s="28"/>
    </row>
    <row r="10">
      <c r="A10" s="39"/>
      <c r="B10" s="37" t="s">
        <v>36</v>
      </c>
      <c r="C10" s="26">
        <f>COUNTIF(Form_Responses1[Qual o tipo de relacionamento com os órgãos federais em seu município?],B10)</f>
        <v>1</v>
      </c>
      <c r="D10" s="27">
        <f t="shared" si="1"/>
        <v>0.09090909091</v>
      </c>
      <c r="E10" s="28"/>
      <c r="F10" s="28"/>
    </row>
    <row r="11">
      <c r="A11" s="32"/>
      <c r="B11" s="37" t="s">
        <v>23</v>
      </c>
      <c r="C11" s="26">
        <f>COUNTIF(Form_Responses1[Qual o tipo de relacionamento com os órgãos federais em seu município?],B11)</f>
        <v>5</v>
      </c>
      <c r="D11" s="27">
        <f t="shared" si="1"/>
        <v>0.4545454545</v>
      </c>
      <c r="E11" s="28"/>
      <c r="F11" s="28"/>
    </row>
    <row r="12" hidden="1">
      <c r="A12" s="39"/>
      <c r="B12" s="37" t="s">
        <v>24</v>
      </c>
      <c r="C12" s="26">
        <f>COUNTIF(Form_Responses1[Qual o tipo de relacionamento com os órgãos federais em seu município?],B12)</f>
        <v>5</v>
      </c>
      <c r="D12" s="27">
        <f t="shared" si="1"/>
        <v>0.4545454545</v>
      </c>
      <c r="E12" s="38" t="s">
        <v>145</v>
      </c>
      <c r="F12" s="38" t="s">
        <v>148</v>
      </c>
    </row>
    <row r="13">
      <c r="A13" s="32"/>
      <c r="B13" s="37" t="s">
        <v>48</v>
      </c>
      <c r="C13" s="26">
        <f>COUNTIF(Form_Responses1[Qual o tipo de relacionamento com os órgãos federais em seu município?],B13)</f>
        <v>0</v>
      </c>
      <c r="D13" s="27">
        <f t="shared" si="1"/>
        <v>0</v>
      </c>
      <c r="E13" s="28"/>
      <c r="F13" s="28"/>
    </row>
    <row r="14">
      <c r="A14" s="39"/>
      <c r="B14" s="40"/>
      <c r="C14" s="40"/>
      <c r="D14" s="27">
        <f t="shared" si="1"/>
        <v>0</v>
      </c>
      <c r="E14" s="41"/>
      <c r="F14" s="42"/>
    </row>
    <row r="15">
      <c r="A15" s="24" t="s">
        <v>7</v>
      </c>
      <c r="B15" s="37" t="s">
        <v>37</v>
      </c>
      <c r="C15" s="26">
        <f>COUNTIF(Form_Responses1[Qual o tipo de relacionamento com os órgãos estaduais em seu município?],B15)</f>
        <v>0</v>
      </c>
      <c r="D15" s="27">
        <f t="shared" si="1"/>
        <v>0</v>
      </c>
      <c r="E15" s="28"/>
      <c r="F15" s="28"/>
    </row>
    <row r="16">
      <c r="A16" s="39"/>
      <c r="B16" s="37" t="s">
        <v>36</v>
      </c>
      <c r="C16" s="26">
        <f>COUNTIF(Form_Responses1[Qual o tipo de relacionamento com os órgãos estaduais em seu município?],B16)</f>
        <v>0</v>
      </c>
      <c r="D16" s="27">
        <f t="shared" si="1"/>
        <v>0</v>
      </c>
      <c r="E16" s="28"/>
      <c r="F16" s="28"/>
    </row>
    <row r="17">
      <c r="A17" s="32"/>
      <c r="B17" s="37" t="s">
        <v>23</v>
      </c>
      <c r="C17" s="26">
        <f>COUNTIF(Form_Responses1[Qual o tipo de relacionamento com os órgãos estaduais em seu município?],B17)</f>
        <v>1</v>
      </c>
      <c r="D17" s="27">
        <f t="shared" si="1"/>
        <v>0.09090909091</v>
      </c>
      <c r="E17" s="28"/>
      <c r="F17" s="28"/>
    </row>
    <row r="18">
      <c r="A18" s="39"/>
      <c r="B18" s="37" t="s">
        <v>24</v>
      </c>
      <c r="C18" s="26">
        <f>COUNTIF(Form_Responses1[Qual o tipo de relacionamento com os órgãos estaduais em seu município?],B18)</f>
        <v>9</v>
      </c>
      <c r="D18" s="27">
        <f t="shared" si="1"/>
        <v>0.8181818182</v>
      </c>
      <c r="E18" s="38" t="s">
        <v>145</v>
      </c>
      <c r="F18" s="38" t="s">
        <v>146</v>
      </c>
    </row>
    <row r="19">
      <c r="A19" s="32"/>
      <c r="B19" s="37" t="s">
        <v>48</v>
      </c>
      <c r="C19" s="26">
        <f>COUNTIF(Form_Responses1[Qual o tipo de relacionamento com os órgãos estaduais em seu município?],B19)</f>
        <v>1</v>
      </c>
      <c r="D19" s="27">
        <f t="shared" si="1"/>
        <v>0.09090909091</v>
      </c>
      <c r="E19" s="28"/>
      <c r="F19" s="28"/>
    </row>
    <row r="20">
      <c r="A20" s="39"/>
      <c r="B20" s="40"/>
      <c r="C20" s="40"/>
      <c r="D20" s="27">
        <f t="shared" si="1"/>
        <v>0</v>
      </c>
      <c r="E20" s="41"/>
      <c r="F20" s="42"/>
    </row>
    <row r="21">
      <c r="A21" s="24" t="s">
        <v>8</v>
      </c>
      <c r="B21" s="37" t="s">
        <v>37</v>
      </c>
      <c r="C21" s="26">
        <f>COUNTIF(Form_Responses1[Qual o tipo de relacionamento com os órgãos municipais em seu município?],B21)</f>
        <v>1</v>
      </c>
      <c r="D21" s="27">
        <f t="shared" si="1"/>
        <v>0.09090909091</v>
      </c>
      <c r="E21" s="28"/>
      <c r="F21" s="28"/>
    </row>
    <row r="22">
      <c r="A22" s="39"/>
      <c r="B22" s="37" t="s">
        <v>36</v>
      </c>
      <c r="C22" s="26">
        <f>COUNTIF(Form_Responses1[Qual o tipo de relacionamento com os órgãos municipais em seu município?],B22)</f>
        <v>1</v>
      </c>
      <c r="D22" s="27">
        <f t="shared" si="1"/>
        <v>0.09090909091</v>
      </c>
      <c r="E22" s="28"/>
      <c r="F22" s="28"/>
    </row>
    <row r="23">
      <c r="A23" s="32"/>
      <c r="B23" s="37" t="s">
        <v>23</v>
      </c>
      <c r="C23" s="26">
        <f>COUNTIF(Form_Responses1[Qual o tipo de relacionamento com os órgãos municipais em seu município?],B23)</f>
        <v>3</v>
      </c>
      <c r="D23" s="27">
        <f t="shared" si="1"/>
        <v>0.2727272727</v>
      </c>
      <c r="E23" s="28"/>
      <c r="F23" s="28"/>
    </row>
    <row r="24">
      <c r="A24" s="39"/>
      <c r="B24" s="37" t="s">
        <v>24</v>
      </c>
      <c r="C24" s="26">
        <f>COUNTIF(Form_Responses1[Qual o tipo de relacionamento com os órgãos municipais em seu município?],B24)</f>
        <v>3</v>
      </c>
      <c r="D24" s="27">
        <f t="shared" si="1"/>
        <v>0.2727272727</v>
      </c>
      <c r="E24" s="28"/>
      <c r="F24" s="28"/>
    </row>
    <row r="25" hidden="1">
      <c r="A25" s="32"/>
      <c r="B25" s="37" t="s">
        <v>48</v>
      </c>
      <c r="C25" s="26">
        <f>COUNTIF(Form_Responses1[Qual o tipo de relacionamento com os órgãos municipais em seu município?],B25)</f>
        <v>3</v>
      </c>
      <c r="D25" s="27">
        <f t="shared" si="1"/>
        <v>0.2727272727</v>
      </c>
      <c r="E25" s="38" t="s">
        <v>145</v>
      </c>
      <c r="F25" s="38" t="s">
        <v>148</v>
      </c>
    </row>
    <row r="26">
      <c r="A26" s="39"/>
      <c r="B26" s="40"/>
      <c r="C26" s="40"/>
      <c r="D26" s="27">
        <f t="shared" si="1"/>
        <v>0</v>
      </c>
      <c r="E26" s="41"/>
      <c r="F26" s="42"/>
    </row>
    <row r="27">
      <c r="A27" s="24" t="s">
        <v>9</v>
      </c>
      <c r="B27" s="37" t="s">
        <v>149</v>
      </c>
      <c r="C27" s="37">
        <v>9.0</v>
      </c>
      <c r="D27" s="27">
        <f t="shared" si="1"/>
        <v>0.8181818182</v>
      </c>
      <c r="E27" s="38" t="s">
        <v>145</v>
      </c>
      <c r="F27" s="38" t="s">
        <v>146</v>
      </c>
    </row>
    <row r="28">
      <c r="A28" s="39"/>
      <c r="B28" s="43" t="s">
        <v>150</v>
      </c>
      <c r="C28" s="37">
        <v>10.0</v>
      </c>
      <c r="D28" s="27">
        <f t="shared" si="1"/>
        <v>0.9090909091</v>
      </c>
      <c r="E28" s="38" t="s">
        <v>145</v>
      </c>
      <c r="F28" s="38" t="s">
        <v>146</v>
      </c>
    </row>
    <row r="29">
      <c r="A29" s="32"/>
      <c r="B29" s="43" t="s">
        <v>151</v>
      </c>
      <c r="C29" s="37">
        <v>5.0</v>
      </c>
      <c r="D29" s="27">
        <f t="shared" si="1"/>
        <v>0.4545454545</v>
      </c>
      <c r="E29" s="38" t="s">
        <v>145</v>
      </c>
      <c r="F29" s="38" t="s">
        <v>152</v>
      </c>
    </row>
    <row r="30" hidden="1">
      <c r="A30" s="39"/>
      <c r="B30" s="43" t="s">
        <v>153</v>
      </c>
      <c r="C30" s="37">
        <v>6.0</v>
      </c>
      <c r="D30" s="27">
        <f t="shared" si="1"/>
        <v>0.5454545455</v>
      </c>
      <c r="E30" s="38" t="s">
        <v>145</v>
      </c>
      <c r="F30" s="38" t="s">
        <v>148</v>
      </c>
    </row>
    <row r="31">
      <c r="A31" s="32"/>
      <c r="B31" s="43" t="s">
        <v>154</v>
      </c>
      <c r="C31" s="37">
        <v>8.0</v>
      </c>
      <c r="D31" s="27">
        <f t="shared" si="1"/>
        <v>0.7272727273</v>
      </c>
      <c r="E31" s="38" t="s">
        <v>145</v>
      </c>
      <c r="F31" s="38" t="s">
        <v>146</v>
      </c>
    </row>
    <row r="32" hidden="1">
      <c r="A32" s="39"/>
      <c r="B32" s="43" t="s">
        <v>155</v>
      </c>
      <c r="C32" s="37">
        <v>6.0</v>
      </c>
      <c r="D32" s="27">
        <f t="shared" si="1"/>
        <v>0.5454545455</v>
      </c>
      <c r="E32" s="38" t="s">
        <v>145</v>
      </c>
      <c r="F32" s="38" t="s">
        <v>148</v>
      </c>
    </row>
    <row r="33">
      <c r="A33" s="32"/>
      <c r="B33" s="43" t="s">
        <v>156</v>
      </c>
      <c r="C33" s="37">
        <v>7.0</v>
      </c>
      <c r="D33" s="27">
        <f t="shared" si="1"/>
        <v>0.6363636364</v>
      </c>
      <c r="E33" s="38" t="s">
        <v>145</v>
      </c>
      <c r="F33" s="38" t="s">
        <v>146</v>
      </c>
    </row>
    <row r="34">
      <c r="A34" s="39"/>
      <c r="B34" s="43" t="s">
        <v>157</v>
      </c>
      <c r="C34" s="37">
        <v>2.0</v>
      </c>
      <c r="D34" s="27">
        <f t="shared" si="1"/>
        <v>0.1818181818</v>
      </c>
      <c r="E34" s="38" t="s">
        <v>145</v>
      </c>
      <c r="F34" s="38" t="s">
        <v>152</v>
      </c>
    </row>
    <row r="35">
      <c r="A35" s="32"/>
      <c r="B35" s="43" t="s">
        <v>158</v>
      </c>
      <c r="C35" s="37">
        <v>3.0</v>
      </c>
      <c r="D35" s="27">
        <f t="shared" si="1"/>
        <v>0.2727272727</v>
      </c>
      <c r="E35" s="38" t="s">
        <v>145</v>
      </c>
      <c r="F35" s="38" t="s">
        <v>152</v>
      </c>
    </row>
    <row r="36" hidden="1">
      <c r="A36" s="39"/>
      <c r="B36" s="43" t="s">
        <v>159</v>
      </c>
      <c r="C36" s="37">
        <v>6.0</v>
      </c>
      <c r="D36" s="27">
        <f t="shared" si="1"/>
        <v>0.5454545455</v>
      </c>
      <c r="E36" s="38" t="s">
        <v>145</v>
      </c>
      <c r="F36" s="38" t="s">
        <v>148</v>
      </c>
    </row>
    <row r="37">
      <c r="A37" s="32"/>
      <c r="B37" s="43" t="s">
        <v>160</v>
      </c>
      <c r="C37" s="37">
        <v>7.0</v>
      </c>
      <c r="D37" s="27">
        <f t="shared" si="1"/>
        <v>0.6363636364</v>
      </c>
      <c r="E37" s="38" t="s">
        <v>145</v>
      </c>
      <c r="F37" s="38" t="s">
        <v>146</v>
      </c>
    </row>
    <row r="38">
      <c r="A38" s="39"/>
      <c r="B38" s="43" t="s">
        <v>161</v>
      </c>
      <c r="C38" s="37">
        <v>3.0</v>
      </c>
      <c r="D38" s="27">
        <f t="shared" si="1"/>
        <v>0.2727272727</v>
      </c>
      <c r="E38" s="38" t="s">
        <v>145</v>
      </c>
      <c r="F38" s="38" t="s">
        <v>152</v>
      </c>
    </row>
    <row r="39">
      <c r="A39" s="32"/>
      <c r="B39" s="43" t="s">
        <v>162</v>
      </c>
      <c r="C39" s="37">
        <v>4.0</v>
      </c>
      <c r="D39" s="27">
        <f t="shared" si="1"/>
        <v>0.3636363636</v>
      </c>
      <c r="E39" s="38" t="s">
        <v>145</v>
      </c>
      <c r="F39" s="38" t="s">
        <v>152</v>
      </c>
    </row>
    <row r="40">
      <c r="A40" s="39"/>
      <c r="B40" s="43" t="s">
        <v>163</v>
      </c>
      <c r="C40" s="37">
        <v>5.0</v>
      </c>
      <c r="D40" s="27">
        <f t="shared" si="1"/>
        <v>0.4545454545</v>
      </c>
      <c r="E40" s="38" t="s">
        <v>145</v>
      </c>
      <c r="F40" s="38" t="s">
        <v>152</v>
      </c>
    </row>
    <row r="41">
      <c r="A41" s="32"/>
      <c r="B41" s="43" t="s">
        <v>164</v>
      </c>
      <c r="C41" s="37">
        <v>2.0</v>
      </c>
      <c r="D41" s="27">
        <f t="shared" si="1"/>
        <v>0.1818181818</v>
      </c>
      <c r="E41" s="38" t="s">
        <v>145</v>
      </c>
      <c r="F41" s="38" t="s">
        <v>152</v>
      </c>
    </row>
    <row r="42">
      <c r="A42" s="39"/>
      <c r="B42" s="43" t="s">
        <v>165</v>
      </c>
      <c r="C42" s="37">
        <v>4.0</v>
      </c>
      <c r="D42" s="27">
        <f t="shared" si="1"/>
        <v>0.3636363636</v>
      </c>
      <c r="E42" s="38" t="s">
        <v>145</v>
      </c>
      <c r="F42" s="38" t="s">
        <v>152</v>
      </c>
    </row>
    <row r="43">
      <c r="A43" s="32"/>
      <c r="B43" s="43" t="s">
        <v>166</v>
      </c>
      <c r="C43" s="37">
        <v>2.0</v>
      </c>
      <c r="D43" s="27">
        <f t="shared" si="1"/>
        <v>0.1818181818</v>
      </c>
      <c r="E43" s="38" t="s">
        <v>145</v>
      </c>
      <c r="F43" s="38" t="s">
        <v>152</v>
      </c>
    </row>
    <row r="44" hidden="1">
      <c r="A44" s="39"/>
      <c r="B44" s="37" t="s">
        <v>167</v>
      </c>
      <c r="C44" s="37">
        <v>6.0</v>
      </c>
      <c r="D44" s="27">
        <f t="shared" si="1"/>
        <v>0.5454545455</v>
      </c>
      <c r="E44" s="38" t="s">
        <v>145</v>
      </c>
      <c r="F44" s="38" t="s">
        <v>148</v>
      </c>
    </row>
    <row r="45">
      <c r="A45" s="32"/>
      <c r="B45" s="34"/>
      <c r="C45" s="34"/>
      <c r="D45" s="27">
        <f t="shared" si="1"/>
        <v>0</v>
      </c>
      <c r="E45" s="35"/>
      <c r="F45" s="36"/>
    </row>
    <row r="46">
      <c r="A46" s="24" t="s">
        <v>10</v>
      </c>
      <c r="B46" s="37" t="s">
        <v>168</v>
      </c>
      <c r="C46" s="37">
        <v>3.0</v>
      </c>
      <c r="D46" s="27">
        <f t="shared" si="1"/>
        <v>0.2727272727</v>
      </c>
      <c r="E46" s="38" t="s">
        <v>169</v>
      </c>
      <c r="F46" s="38" t="s">
        <v>146</v>
      </c>
    </row>
    <row r="47">
      <c r="A47" s="32"/>
      <c r="B47" s="37" t="s">
        <v>170</v>
      </c>
      <c r="C47" s="37">
        <v>1.0</v>
      </c>
      <c r="D47" s="27">
        <f t="shared" si="1"/>
        <v>0.09090909091</v>
      </c>
      <c r="E47" s="38" t="s">
        <v>169</v>
      </c>
      <c r="F47" s="38" t="s">
        <v>146</v>
      </c>
    </row>
    <row r="48">
      <c r="A48" s="39"/>
      <c r="B48" s="37" t="s">
        <v>171</v>
      </c>
      <c r="C48" s="37">
        <v>0.0</v>
      </c>
      <c r="D48" s="27">
        <f t="shared" si="1"/>
        <v>0</v>
      </c>
      <c r="E48" s="38" t="s">
        <v>169</v>
      </c>
      <c r="F48" s="38" t="s">
        <v>146</v>
      </c>
    </row>
    <row r="49">
      <c r="A49" s="32"/>
      <c r="B49" s="37" t="s">
        <v>172</v>
      </c>
      <c r="C49" s="37">
        <v>2.0</v>
      </c>
      <c r="D49" s="27">
        <f t="shared" si="1"/>
        <v>0.1818181818</v>
      </c>
      <c r="E49" s="38" t="s">
        <v>169</v>
      </c>
      <c r="F49" s="38" t="s">
        <v>146</v>
      </c>
    </row>
    <row r="50">
      <c r="A50" s="39"/>
      <c r="B50" s="37" t="s">
        <v>173</v>
      </c>
      <c r="C50" s="37">
        <v>0.0</v>
      </c>
      <c r="D50" s="27">
        <f t="shared" si="1"/>
        <v>0</v>
      </c>
      <c r="E50" s="38" t="s">
        <v>169</v>
      </c>
      <c r="F50" s="38" t="s">
        <v>146</v>
      </c>
    </row>
    <row r="51">
      <c r="A51" s="32"/>
      <c r="B51" s="37" t="s">
        <v>174</v>
      </c>
      <c r="C51" s="37">
        <v>0.0</v>
      </c>
      <c r="D51" s="27">
        <f t="shared" si="1"/>
        <v>0</v>
      </c>
      <c r="E51" s="38" t="s">
        <v>169</v>
      </c>
      <c r="F51" s="38" t="s">
        <v>146</v>
      </c>
    </row>
    <row r="52">
      <c r="A52" s="39"/>
      <c r="B52" s="37" t="s">
        <v>175</v>
      </c>
      <c r="C52" s="37">
        <v>2.0</v>
      </c>
      <c r="D52" s="27">
        <f t="shared" si="1"/>
        <v>0.1818181818</v>
      </c>
      <c r="E52" s="38" t="s">
        <v>169</v>
      </c>
      <c r="F52" s="38" t="s">
        <v>146</v>
      </c>
    </row>
    <row r="53">
      <c r="A53" s="32"/>
      <c r="B53" s="37" t="s">
        <v>176</v>
      </c>
      <c r="C53" s="37">
        <v>3.0</v>
      </c>
      <c r="D53" s="27">
        <f t="shared" si="1"/>
        <v>0.2727272727</v>
      </c>
      <c r="E53" s="38" t="s">
        <v>169</v>
      </c>
      <c r="F53" s="38" t="s">
        <v>146</v>
      </c>
    </row>
    <row r="54">
      <c r="A54" s="39"/>
      <c r="B54" s="37" t="s">
        <v>177</v>
      </c>
      <c r="C54" s="37">
        <v>4.0</v>
      </c>
      <c r="D54" s="27">
        <f t="shared" si="1"/>
        <v>0.3636363636</v>
      </c>
      <c r="E54" s="38" t="s">
        <v>169</v>
      </c>
      <c r="F54" s="38" t="s">
        <v>146</v>
      </c>
    </row>
    <row r="55">
      <c r="A55" s="32"/>
      <c r="B55" s="37" t="s">
        <v>178</v>
      </c>
      <c r="C55" s="37">
        <v>4.0</v>
      </c>
      <c r="D55" s="27">
        <f t="shared" si="1"/>
        <v>0.3636363636</v>
      </c>
      <c r="E55" s="38" t="s">
        <v>169</v>
      </c>
      <c r="F55" s="38" t="s">
        <v>146</v>
      </c>
    </row>
    <row r="56">
      <c r="A56" s="39"/>
      <c r="B56" s="37" t="s">
        <v>179</v>
      </c>
      <c r="C56" s="37">
        <v>4.0</v>
      </c>
      <c r="D56" s="27">
        <f t="shared" si="1"/>
        <v>0.3636363636</v>
      </c>
      <c r="E56" s="38" t="s">
        <v>169</v>
      </c>
      <c r="F56" s="38" t="s">
        <v>146</v>
      </c>
    </row>
    <row r="57">
      <c r="A57" s="32"/>
      <c r="B57" s="37" t="s">
        <v>180</v>
      </c>
      <c r="C57" s="37">
        <v>8.0</v>
      </c>
      <c r="D57" s="27">
        <f t="shared" si="1"/>
        <v>0.7272727273</v>
      </c>
      <c r="E57" s="38" t="s">
        <v>169</v>
      </c>
      <c r="F57" s="38" t="s">
        <v>152</v>
      </c>
    </row>
    <row r="58">
      <c r="A58" s="39"/>
      <c r="B58" s="37" t="s">
        <v>181</v>
      </c>
      <c r="C58" s="37">
        <v>8.0</v>
      </c>
      <c r="D58" s="27">
        <f t="shared" si="1"/>
        <v>0.7272727273</v>
      </c>
      <c r="E58" s="38" t="s">
        <v>169</v>
      </c>
      <c r="F58" s="38" t="s">
        <v>152</v>
      </c>
    </row>
    <row r="59">
      <c r="A59" s="32"/>
      <c r="B59" s="37" t="s">
        <v>182</v>
      </c>
      <c r="C59" s="37">
        <v>6.0</v>
      </c>
      <c r="D59" s="27">
        <f t="shared" si="1"/>
        <v>0.5454545455</v>
      </c>
      <c r="E59" s="38" t="s">
        <v>169</v>
      </c>
      <c r="F59" s="38" t="s">
        <v>152</v>
      </c>
    </row>
    <row r="60">
      <c r="A60" s="39"/>
      <c r="B60" s="37" t="s">
        <v>183</v>
      </c>
      <c r="C60" s="37">
        <v>4.0</v>
      </c>
      <c r="D60" s="27">
        <f t="shared" si="1"/>
        <v>0.3636363636</v>
      </c>
      <c r="E60" s="38" t="s">
        <v>169</v>
      </c>
      <c r="F60" s="38" t="s">
        <v>146</v>
      </c>
    </row>
    <row r="61">
      <c r="A61" s="32"/>
      <c r="B61" s="37" t="s">
        <v>184</v>
      </c>
      <c r="C61" s="37">
        <v>3.0</v>
      </c>
      <c r="D61" s="27">
        <f t="shared" si="1"/>
        <v>0.2727272727</v>
      </c>
      <c r="E61" s="38" t="s">
        <v>169</v>
      </c>
      <c r="F61" s="38" t="s">
        <v>146</v>
      </c>
    </row>
    <row r="62">
      <c r="A62" s="39"/>
      <c r="B62" s="37" t="s">
        <v>185</v>
      </c>
      <c r="C62" s="37">
        <v>3.0</v>
      </c>
      <c r="D62" s="27">
        <f t="shared" si="1"/>
        <v>0.2727272727</v>
      </c>
      <c r="E62" s="38" t="s">
        <v>169</v>
      </c>
      <c r="F62" s="38" t="s">
        <v>146</v>
      </c>
    </row>
    <row r="63">
      <c r="A63" s="32"/>
      <c r="B63" s="34"/>
      <c r="C63" s="33"/>
      <c r="D63" s="27"/>
      <c r="E63" s="35"/>
      <c r="F63" s="36"/>
    </row>
    <row r="64" hidden="1">
      <c r="A64" s="24" t="s">
        <v>186</v>
      </c>
      <c r="B64" s="37" t="s">
        <v>40</v>
      </c>
      <c r="C64" s="37">
        <v>10.0</v>
      </c>
      <c r="D64" s="27">
        <f t="shared" ref="D64:D69" si="2">C64/11</f>
        <v>0.9090909091</v>
      </c>
      <c r="E64" s="38" t="s">
        <v>145</v>
      </c>
      <c r="F64" s="38" t="s">
        <v>187</v>
      </c>
    </row>
    <row r="65" hidden="1">
      <c r="A65" s="32"/>
      <c r="B65" s="37" t="s">
        <v>188</v>
      </c>
      <c r="C65" s="37">
        <v>5.0</v>
      </c>
      <c r="D65" s="27">
        <f t="shared" si="2"/>
        <v>0.4545454545</v>
      </c>
      <c r="E65" s="38" t="s">
        <v>145</v>
      </c>
      <c r="F65" s="38" t="s">
        <v>148</v>
      </c>
    </row>
    <row r="66" hidden="1">
      <c r="A66" s="39"/>
      <c r="B66" s="37" t="s">
        <v>189</v>
      </c>
      <c r="C66" s="37">
        <v>9.0</v>
      </c>
      <c r="D66" s="27">
        <f t="shared" si="2"/>
        <v>0.8181818182</v>
      </c>
      <c r="E66" s="38" t="s">
        <v>145</v>
      </c>
      <c r="F66" s="38" t="s">
        <v>187</v>
      </c>
    </row>
    <row r="67" hidden="1">
      <c r="A67" s="32"/>
      <c r="B67" s="37" t="s">
        <v>190</v>
      </c>
      <c r="C67" s="37">
        <v>5.0</v>
      </c>
      <c r="D67" s="27">
        <f t="shared" si="2"/>
        <v>0.4545454545</v>
      </c>
      <c r="E67" s="38" t="s">
        <v>145</v>
      </c>
      <c r="F67" s="38" t="s">
        <v>148</v>
      </c>
    </row>
    <row r="68" hidden="1">
      <c r="A68" s="39"/>
      <c r="B68" s="37" t="s">
        <v>191</v>
      </c>
      <c r="C68" s="37">
        <v>2.0</v>
      </c>
      <c r="D68" s="27">
        <f t="shared" si="2"/>
        <v>0.1818181818</v>
      </c>
      <c r="E68" s="38" t="s">
        <v>145</v>
      </c>
      <c r="F68" s="38" t="s">
        <v>148</v>
      </c>
    </row>
    <row r="69" hidden="1">
      <c r="A69" s="32"/>
      <c r="B69" s="37" t="s">
        <v>192</v>
      </c>
      <c r="C69" s="37">
        <v>3.0</v>
      </c>
      <c r="D69" s="27">
        <f t="shared" si="2"/>
        <v>0.2727272727</v>
      </c>
      <c r="E69" s="38" t="s">
        <v>145</v>
      </c>
      <c r="F69" s="38" t="s">
        <v>148</v>
      </c>
    </row>
    <row r="70">
      <c r="A70" s="39"/>
      <c r="B70" s="40"/>
      <c r="C70" s="40"/>
      <c r="D70" s="27"/>
      <c r="E70" s="41"/>
      <c r="F70" s="42"/>
    </row>
    <row r="71">
      <c r="A71" s="24" t="s">
        <v>13</v>
      </c>
      <c r="B71" s="37" t="s">
        <v>193</v>
      </c>
      <c r="C71" s="37">
        <v>6.0</v>
      </c>
      <c r="D71" s="27">
        <f t="shared" ref="D71:D76" si="3">C71/11</f>
        <v>0.5454545455</v>
      </c>
      <c r="E71" s="38" t="s">
        <v>169</v>
      </c>
      <c r="F71" s="28"/>
    </row>
    <row r="72">
      <c r="A72" s="39"/>
      <c r="B72" s="37" t="s">
        <v>194</v>
      </c>
      <c r="C72" s="37">
        <v>8.0</v>
      </c>
      <c r="D72" s="27">
        <f t="shared" si="3"/>
        <v>0.7272727273</v>
      </c>
      <c r="E72" s="38" t="s">
        <v>169</v>
      </c>
      <c r="F72" s="38" t="s">
        <v>195</v>
      </c>
    </row>
    <row r="73">
      <c r="A73" s="32"/>
      <c r="B73" s="37" t="s">
        <v>72</v>
      </c>
      <c r="C73" s="37">
        <v>5.0</v>
      </c>
      <c r="D73" s="27">
        <f t="shared" si="3"/>
        <v>0.4545454545</v>
      </c>
      <c r="E73" s="38" t="s">
        <v>169</v>
      </c>
      <c r="F73" s="28"/>
    </row>
    <row r="74">
      <c r="A74" s="39"/>
      <c r="B74" s="37" t="s">
        <v>196</v>
      </c>
      <c r="C74" s="37">
        <v>7.0</v>
      </c>
      <c r="D74" s="27">
        <f t="shared" si="3"/>
        <v>0.6363636364</v>
      </c>
      <c r="E74" s="38" t="s">
        <v>169</v>
      </c>
      <c r="F74" s="38" t="s">
        <v>195</v>
      </c>
    </row>
    <row r="75">
      <c r="A75" s="32"/>
      <c r="B75" s="37" t="s">
        <v>197</v>
      </c>
      <c r="C75" s="37">
        <v>1.0</v>
      </c>
      <c r="D75" s="27">
        <f t="shared" si="3"/>
        <v>0.09090909091</v>
      </c>
      <c r="E75" s="38" t="s">
        <v>169</v>
      </c>
      <c r="F75" s="28"/>
    </row>
    <row r="76">
      <c r="A76" s="39"/>
      <c r="B76" s="37" t="s">
        <v>198</v>
      </c>
      <c r="C76" s="37">
        <v>2.0</v>
      </c>
      <c r="D76" s="27">
        <f t="shared" si="3"/>
        <v>0.1818181818</v>
      </c>
      <c r="E76" s="38" t="s">
        <v>169</v>
      </c>
      <c r="F76" s="28"/>
    </row>
    <row r="77">
      <c r="A77" s="32"/>
      <c r="B77" s="34"/>
      <c r="C77" s="34"/>
      <c r="D77" s="27"/>
      <c r="E77" s="35"/>
      <c r="F77" s="36"/>
    </row>
    <row r="78">
      <c r="A78" s="24" t="s">
        <v>15</v>
      </c>
      <c r="B78" s="37" t="s">
        <v>30</v>
      </c>
      <c r="C78" s="37">
        <v>8.0</v>
      </c>
      <c r="D78" s="27">
        <f t="shared" ref="D78:D83" si="4">C78/11</f>
        <v>0.7272727273</v>
      </c>
      <c r="E78" s="38" t="s">
        <v>169</v>
      </c>
      <c r="F78" s="38" t="s">
        <v>195</v>
      </c>
    </row>
    <row r="79">
      <c r="A79" s="32"/>
      <c r="B79" s="37" t="s">
        <v>199</v>
      </c>
      <c r="C79" s="37">
        <v>3.0</v>
      </c>
      <c r="D79" s="27">
        <f t="shared" si="4"/>
        <v>0.2727272727</v>
      </c>
      <c r="E79" s="38" t="s">
        <v>169</v>
      </c>
      <c r="F79" s="28"/>
    </row>
    <row r="80">
      <c r="A80" s="39"/>
      <c r="B80" s="37" t="s">
        <v>200</v>
      </c>
      <c r="C80" s="37">
        <v>3.0</v>
      </c>
      <c r="D80" s="27">
        <f t="shared" si="4"/>
        <v>0.2727272727</v>
      </c>
      <c r="E80" s="38" t="s">
        <v>169</v>
      </c>
      <c r="F80" s="28"/>
    </row>
    <row r="81">
      <c r="A81" s="32"/>
      <c r="B81" s="37" t="s">
        <v>74</v>
      </c>
      <c r="C81" s="37">
        <v>2.0</v>
      </c>
      <c r="D81" s="27">
        <f t="shared" si="4"/>
        <v>0.1818181818</v>
      </c>
      <c r="E81" s="38" t="s">
        <v>169</v>
      </c>
      <c r="F81" s="28"/>
    </row>
    <row r="82">
      <c r="A82" s="39"/>
      <c r="B82" s="37" t="s">
        <v>201</v>
      </c>
      <c r="C82" s="37">
        <v>3.0</v>
      </c>
      <c r="D82" s="27">
        <f t="shared" si="4"/>
        <v>0.2727272727</v>
      </c>
      <c r="E82" s="38" t="s">
        <v>169</v>
      </c>
      <c r="F82" s="28"/>
    </row>
    <row r="83">
      <c r="A83" s="32"/>
      <c r="B83" s="37" t="s">
        <v>202</v>
      </c>
      <c r="C83" s="37">
        <v>1.0</v>
      </c>
      <c r="D83" s="27">
        <f t="shared" si="4"/>
        <v>0.09090909091</v>
      </c>
      <c r="E83" s="38" t="s">
        <v>169</v>
      </c>
      <c r="F83" s="28"/>
    </row>
    <row r="84">
      <c r="A84" s="39"/>
      <c r="B84" s="40"/>
      <c r="C84" s="40"/>
      <c r="D84" s="27"/>
      <c r="E84" s="41"/>
      <c r="F84" s="42"/>
    </row>
    <row r="85">
      <c r="A85" s="24" t="s">
        <v>16</v>
      </c>
      <c r="B85" s="37" t="s">
        <v>203</v>
      </c>
      <c r="C85" s="37">
        <v>6.0</v>
      </c>
      <c r="D85" s="27">
        <f t="shared" ref="D85:D97" si="5">C85/11</f>
        <v>0.5454545455</v>
      </c>
      <c r="E85" s="28"/>
      <c r="F85" s="28"/>
    </row>
    <row r="86">
      <c r="A86" s="39"/>
      <c r="B86" s="37" t="s">
        <v>204</v>
      </c>
      <c r="C86" s="37">
        <v>5.0</v>
      </c>
      <c r="D86" s="27">
        <f t="shared" si="5"/>
        <v>0.4545454545</v>
      </c>
      <c r="E86" s="28"/>
      <c r="F86" s="28"/>
    </row>
    <row r="87">
      <c r="A87" s="32"/>
      <c r="B87" s="37" t="s">
        <v>205</v>
      </c>
      <c r="C87" s="37">
        <v>6.0</v>
      </c>
      <c r="D87" s="27">
        <f t="shared" si="5"/>
        <v>0.5454545455</v>
      </c>
      <c r="E87" s="28"/>
      <c r="F87" s="28"/>
    </row>
    <row r="88">
      <c r="A88" s="39"/>
      <c r="B88" s="37" t="s">
        <v>206</v>
      </c>
      <c r="C88" s="37">
        <v>4.0</v>
      </c>
      <c r="D88" s="27">
        <f t="shared" si="5"/>
        <v>0.3636363636</v>
      </c>
      <c r="E88" s="28"/>
      <c r="F88" s="28"/>
    </row>
    <row r="89">
      <c r="A89" s="32"/>
      <c r="B89" s="37" t="s">
        <v>75</v>
      </c>
      <c r="C89" s="37">
        <v>7.0</v>
      </c>
      <c r="D89" s="27">
        <f t="shared" si="5"/>
        <v>0.6363636364</v>
      </c>
      <c r="E89" s="28"/>
      <c r="F89" s="28"/>
    </row>
    <row r="90">
      <c r="A90" s="39"/>
      <c r="B90" s="37" t="s">
        <v>207</v>
      </c>
      <c r="C90" s="37">
        <v>1.0</v>
      </c>
      <c r="D90" s="27">
        <f t="shared" si="5"/>
        <v>0.09090909091</v>
      </c>
      <c r="E90" s="28"/>
      <c r="F90" s="28"/>
    </row>
    <row r="91">
      <c r="A91" s="32"/>
      <c r="B91" s="34"/>
      <c r="C91" s="34"/>
      <c r="D91" s="27">
        <f t="shared" si="5"/>
        <v>0</v>
      </c>
      <c r="E91" s="35"/>
      <c r="F91" s="36"/>
    </row>
    <row r="92">
      <c r="A92" s="24" t="s">
        <v>17</v>
      </c>
      <c r="B92" s="37" t="s">
        <v>208</v>
      </c>
      <c r="C92" s="37">
        <v>5.0</v>
      </c>
      <c r="D92" s="27">
        <f t="shared" si="5"/>
        <v>0.4545454545</v>
      </c>
      <c r="E92" s="28"/>
      <c r="F92" s="28"/>
    </row>
    <row r="93">
      <c r="A93" s="32"/>
      <c r="B93" s="37" t="s">
        <v>209</v>
      </c>
      <c r="C93" s="37">
        <v>3.0</v>
      </c>
      <c r="D93" s="27">
        <f t="shared" si="5"/>
        <v>0.2727272727</v>
      </c>
      <c r="E93" s="28"/>
      <c r="F93" s="28"/>
    </row>
    <row r="94">
      <c r="A94" s="39"/>
      <c r="B94" s="37" t="s">
        <v>32</v>
      </c>
      <c r="C94" s="37">
        <v>7.0</v>
      </c>
      <c r="D94" s="27">
        <f t="shared" si="5"/>
        <v>0.6363636364</v>
      </c>
      <c r="E94" s="28"/>
      <c r="F94" s="38" t="s">
        <v>195</v>
      </c>
    </row>
    <row r="95">
      <c r="A95" s="32"/>
      <c r="B95" s="37" t="s">
        <v>115</v>
      </c>
      <c r="C95" s="37">
        <v>5.0</v>
      </c>
      <c r="D95" s="27">
        <f t="shared" si="5"/>
        <v>0.4545454545</v>
      </c>
      <c r="E95" s="28"/>
      <c r="F95" s="28"/>
    </row>
    <row r="96">
      <c r="A96" s="44"/>
      <c r="B96" s="45" t="s">
        <v>45</v>
      </c>
      <c r="C96" s="45">
        <v>1.0</v>
      </c>
      <c r="D96" s="27">
        <f t="shared" si="5"/>
        <v>0.09090909091</v>
      </c>
      <c r="E96" s="46"/>
      <c r="F96" s="46"/>
    </row>
    <row r="97">
      <c r="A97" s="47"/>
      <c r="B97" s="45" t="s">
        <v>56</v>
      </c>
      <c r="C97" s="45">
        <v>2.0</v>
      </c>
      <c r="D97" s="27">
        <f t="shared" si="5"/>
        <v>0.1818181818</v>
      </c>
      <c r="E97" s="46"/>
      <c r="F97" s="46"/>
    </row>
    <row r="98">
      <c r="A98" s="48"/>
    </row>
    <row r="99">
      <c r="A99" s="48"/>
    </row>
    <row r="100">
      <c r="A100" s="48"/>
    </row>
    <row r="101">
      <c r="A101" s="48"/>
    </row>
    <row r="102">
      <c r="A102" s="48"/>
    </row>
    <row r="103">
      <c r="A103" s="48"/>
    </row>
    <row r="104">
      <c r="A104" s="48"/>
    </row>
    <row r="105">
      <c r="A105" s="48"/>
    </row>
    <row r="106">
      <c r="A106" s="48"/>
    </row>
    <row r="107">
      <c r="A107" s="48"/>
    </row>
    <row r="108">
      <c r="A108" s="48"/>
    </row>
    <row r="109">
      <c r="A109" s="48"/>
    </row>
    <row r="110">
      <c r="A110" s="48"/>
    </row>
  </sheetData>
  <dataValidations>
    <dataValidation type="list" allowBlank="1" sqref="F2:F97">
      <formula1>"FORÇA,FRAQUEZA,OPORTUNIDADE,AMEAÇA,MELHORAR"</formula1>
    </dataValidation>
    <dataValidation type="list" allowBlank="1" sqref="E2:E97">
      <formula1>"MENOR MELHOR,MAIOR MELHOR"</formula1>
    </dataValidation>
    <dataValidation type="custom" allowBlank="1" showDropDown="1" sqref="D2:D9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